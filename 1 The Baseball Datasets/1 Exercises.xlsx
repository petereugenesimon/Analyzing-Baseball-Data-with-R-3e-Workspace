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91c868bfd22048/Documents/Baseball/ABDWR/"/>
    </mc:Choice>
  </mc:AlternateContent>
  <xr:revisionPtr revIDLastSave="2" documentId="8_{B7089899-A5C2-4E19-9587-000336207E74}" xr6:coauthVersionLast="47" xr6:coauthVersionMax="47" xr10:uidLastSave="{20C44524-FD63-48A8-87F2-B6821F6A0630}"/>
  <bookViews>
    <workbookView xWindow="-120" yWindow="-120" windowWidth="29040" windowHeight="15720" xr2:uid="{FFC9AF06-6168-4695-8829-674ED7D470B5}"/>
  </bookViews>
  <sheets>
    <sheet name="1.10 Exerci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0" i="1" l="1"/>
  <c r="A87" i="1"/>
  <c r="A65" i="1"/>
  <c r="A61" i="1"/>
  <c r="A57" i="1"/>
  <c r="A54" i="1"/>
</calcChain>
</file>

<file path=xl/sharedStrings.xml><?xml version="1.0" encoding="utf-8"?>
<sst xmlns="http://schemas.openxmlformats.org/spreadsheetml/2006/main" count="205" uniqueCount="186">
  <si>
    <t>1. Which Datafile</t>
  </si>
  <si>
    <t>This chapter has given an overview of the Lahman database, the Retrosheet game logs, the Retrosheet</t>
  </si>
  <si>
    <t>play-by-play files, the PITCHf/x database, and the Statcast database. Describe the relevant data among</t>
  </si>
  <si>
    <t>these four databases that can be used to answer the following baseball questions.</t>
  </si>
  <si>
    <t>a. How has the rate of walks (per team for nine innings) changed over the history of baseball?</t>
  </si>
  <si>
    <t>To find this answer, you can use the Teams table in the Lahman baseball database as that houses season-by</t>
  </si>
  <si>
    <t>b. What fraction of baseball games in 1968 were shutouts? Compare this fraction with the fraction of shutouts</t>
  </si>
  <si>
    <t>-season data for every team going back to 1871. There you can find team walks for every season and calculate</t>
  </si>
  <si>
    <t>the rate of walks throughout baseball history.</t>
  </si>
  <si>
    <t>To find this answer, you can use Retrosheet game logs. Those game logs contain the final score of all games</t>
  </si>
  <si>
    <t>in the 2012 baseball season.</t>
  </si>
  <si>
    <t>going back to 1871. You would be able to find how many games were shutouts in relation to the total games</t>
  </si>
  <si>
    <t>played in 1968 and then do the same for 2012 and make the comparison.</t>
  </si>
  <si>
    <t>c. What percentage of first pitches are strikes? If the count is 2-0, what fraction of the pitches are strikes?</t>
  </si>
  <si>
    <t>There are two ways to find this answer. The first would be using Retrosheet's play-by-play data. You would</t>
  </si>
  <si>
    <t>be able to pull in every play and manipulate the data to isolate pitch sequence. From there you could make</t>
  </si>
  <si>
    <t>your calculations as percentage of first pitch stirkes and fraction of strikes thrown in a 2-0 count. Another,</t>
  </si>
  <si>
    <t>and probably more simple, way of finding this answer would be using Statcast or Pitchf/x data from MLB.</t>
  </si>
  <si>
    <t>This information is already somewhat isolated for you so you wouldn't have to do the extra work of</t>
  </si>
  <si>
    <t>manipulating the data to find certain counts. You should be able to find every first pitch thrown or every</t>
  </si>
  <si>
    <t>2-0 count pitch thrown and do a calculation off of that.</t>
  </si>
  <si>
    <t>d. Which players are most likely to hit groundballs? Of these players, compare the speeds at which these</t>
  </si>
  <si>
    <t>groundballs are hit.</t>
  </si>
  <si>
    <t>For the first part of this question, the same answer as above is applicable. You should be able to use either</t>
  </si>
  <si>
    <t>Retrosheet play-by-play data or MLB Statcast data. Again, the Statcast data will require a lot less heavy lifting</t>
  </si>
  <si>
    <t>e. Is it easier to steal second base or third base? (Compare the fraction of successful steals of second base</t>
  </si>
  <si>
    <t>with the fraction of successful steals of third base.)</t>
  </si>
  <si>
    <t>as far as isolating the desired data points, in this case the batted ball type. For the second part, Statcast is the</t>
  </si>
  <si>
    <t>correct answer. Statcast provides exit velocity data for every batted ball put into play so you should be able to</t>
  </si>
  <si>
    <t>hard those groundballs are hit.</t>
  </si>
  <si>
    <t>assign exit velocity numbers to those players who are hitting a lot of groundballs and be able to compare how</t>
  </si>
  <si>
    <t>For this answer, again it is similar to the two above. We can use either Retrosheet play-by-play data or</t>
  </si>
  <si>
    <t>MLB Statcast data. Both will provide you the information needed to calculate steal success rates and</t>
  </si>
  <si>
    <t>allow you to make a comparison between successs in stealing second base compared to third base.</t>
  </si>
  <si>
    <t>2. Lahman Pitching Data</t>
  </si>
  <si>
    <t>From the pitching data file from the Lahman database, the following information is collected about Bob</t>
  </si>
  <si>
    <t>Gibson's famous 1968 season.</t>
  </si>
  <si>
    <t>playerID</t>
  </si>
  <si>
    <t>yearID</t>
  </si>
  <si>
    <t>stint</t>
  </si>
  <si>
    <t>teamID</t>
  </si>
  <si>
    <t>lgID</t>
  </si>
  <si>
    <t>W</t>
  </si>
  <si>
    <t>L</t>
  </si>
  <si>
    <t>G</t>
  </si>
  <si>
    <t>GS</t>
  </si>
  <si>
    <t>CG</t>
  </si>
  <si>
    <t>SHO</t>
  </si>
  <si>
    <t>SV</t>
  </si>
  <si>
    <t>gibsonbo01</t>
  </si>
  <si>
    <t>SLN</t>
  </si>
  <si>
    <t>NL</t>
  </si>
  <si>
    <t>H</t>
  </si>
  <si>
    <t>ER</t>
  </si>
  <si>
    <t>HR</t>
  </si>
  <si>
    <t>BB</t>
  </si>
  <si>
    <t>SO</t>
  </si>
  <si>
    <t>BAOpp</t>
  </si>
  <si>
    <t>ERA</t>
  </si>
  <si>
    <t>IBB</t>
  </si>
  <si>
    <t>WP</t>
  </si>
  <si>
    <t>HBP</t>
  </si>
  <si>
    <t>BK</t>
  </si>
  <si>
    <t>IPouts</t>
  </si>
  <si>
    <t>BFP</t>
  </si>
  <si>
    <t>GF</t>
  </si>
  <si>
    <t>R</t>
  </si>
  <si>
    <t>SH</t>
  </si>
  <si>
    <t>SF</t>
  </si>
  <si>
    <t>GIDP</t>
  </si>
  <si>
    <t>NA</t>
  </si>
  <si>
    <t>a. Gibson started 34 games for the Cardinals in 1968. What fraction of these games were completed by Gibson?</t>
  </si>
  <si>
    <t>82.3%, CG/GS</t>
  </si>
  <si>
    <t>b. What was Gibson's ratio of strikeouts to walk this season?</t>
  </si>
  <si>
    <t>4.3, SO/BB</t>
  </si>
  <si>
    <t>c. One can compute Gibson's innings pitcher by dividing IPouts by three. How many innings did Gibson pitch</t>
  </si>
  <si>
    <t>this season?</t>
  </si>
  <si>
    <t>304.2, IPouts / 3</t>
  </si>
  <si>
    <t>d. A modern measure of pitching effectiveness is WHIP, the average number of hits and walks allowed per</t>
  </si>
  <si>
    <t>inning. What was Gibson's WHIP for the 1968 season?</t>
  </si>
  <si>
    <t>0.85, (BB + H) / (IPouts / 3)</t>
  </si>
  <si>
    <t>3. Retrosheet Game Log</t>
  </si>
  <si>
    <t>Jim Bunning pitched a perfect game on Father's Day on June 21, 1964. Some details about this particular game</t>
  </si>
  <si>
    <t>can be found from the Retrosheet game logs.</t>
  </si>
  <si>
    <t>Date</t>
  </si>
  <si>
    <t>DoubleHeader</t>
  </si>
  <si>
    <t>DatofWeek</t>
  </si>
  <si>
    <t>VisitingTeam</t>
  </si>
  <si>
    <t>VisitingTeamLeague</t>
  </si>
  <si>
    <t>VisitingGameNumber</t>
  </si>
  <si>
    <t>HomeTeam</t>
  </si>
  <si>
    <t>HomeTeamLeague</t>
  </si>
  <si>
    <t>HomeTeamGameNumber</t>
  </si>
  <si>
    <t>Sun</t>
  </si>
  <si>
    <t>PHI</t>
  </si>
  <si>
    <t>NYN</t>
  </si>
  <si>
    <t>VisitorRunsScore</t>
  </si>
  <si>
    <t>HomeRunsScore</t>
  </si>
  <si>
    <t>LengthInOuts</t>
  </si>
  <si>
    <t>DayNight</t>
  </si>
  <si>
    <t>D</t>
  </si>
  <si>
    <t>CompletionInfo</t>
  </si>
  <si>
    <t>ForfeitInfo</t>
  </si>
  <si>
    <t>ProtestInfo</t>
  </si>
  <si>
    <t>ParkID</t>
  </si>
  <si>
    <t>Attendance</t>
  </si>
  <si>
    <t>Duration</t>
  </si>
  <si>
    <t>VisitorLineScore</t>
  </si>
  <si>
    <t>HomeLineScore</t>
  </si>
  <si>
    <t>VisitorAB</t>
  </si>
  <si>
    <t>VisitorH</t>
  </si>
  <si>
    <t>VisitorD</t>
  </si>
  <si>
    <t>VisitorT</t>
  </si>
  <si>
    <t>VisitorHR</t>
  </si>
  <si>
    <t>NYC17</t>
  </si>
  <si>
    <t>000000000</t>
  </si>
  <si>
    <t>VisitorRBI</t>
  </si>
  <si>
    <t>VisitorSH</t>
  </si>
  <si>
    <t>VisitorSF</t>
  </si>
  <si>
    <t>VisitorHBP</t>
  </si>
  <si>
    <t>VisitorBB</t>
  </si>
  <si>
    <t>VisitorIBB</t>
  </si>
  <si>
    <t>VisitorK</t>
  </si>
  <si>
    <t>VisitorSB</t>
  </si>
  <si>
    <t>VisitorCS</t>
  </si>
  <si>
    <t>VisitorGDP</t>
  </si>
  <si>
    <t>VisitorCI</t>
  </si>
  <si>
    <t>VisitorLOB</t>
  </si>
  <si>
    <t>a. What was the time in hours and minutes of this particular game?</t>
  </si>
  <si>
    <t>2 hours and 19 minutes, 139 / 60 and the remainder multiplied by 60</t>
  </si>
  <si>
    <t>b. Why is the attendance value in this record equal to zero?</t>
  </si>
  <si>
    <t>The attendance value is zero because you can see in the DoubleHeader record that this was the first game of a doubleheader and attendance</t>
  </si>
  <si>
    <t>is recorded during the second game of a doubleheader.</t>
  </si>
  <si>
    <t>c. How many extra base hits did the Phillies have in this game? (We know that the Mets had no extra base hits in this game.)</t>
  </si>
  <si>
    <t>VisitorD + VisitorT + VisitorHR (i.e. Doubles + Triples + HRs)</t>
  </si>
  <si>
    <t>d. What was the Phillies' on-base percentage this game?</t>
  </si>
  <si>
    <t>(VisitorH + VisitorBB + VisitorHBP) / (VisitorAB + VisitorBB + VisitorHBP + VisitorSF)</t>
  </si>
  <si>
    <t>4. Retrosheet Play-by-Play Record</t>
  </si>
  <si>
    <t>One of the famous plays in Philadelphia Phillies history is second baseman Mickey Morandini's unassisted triple play against the Pirates on</t>
  </si>
  <si>
    <t>September 20, 1992. The following records from Retrosheet play-by-play database describe this half-inning. The variables indicate the half-inning</t>
  </si>
  <si>
    <t>(variables INN_CT and HOME_ID), the current score (variables AWAY_SCORE_CT and HOME_SCORE_CT), the identities of the pitcher and batter</t>
  </si>
  <si>
    <t>(variables BAT_ID and PIT_ID), the pitch sequence (variable PITCH_SEQ), the play event description (variable EVENT_TEX), and the runners on base</t>
  </si>
  <si>
    <t>(variables BASE1_RUN and BASE2_ID).</t>
  </si>
  <si>
    <t>bat_home_id</t>
  </si>
  <si>
    <t>away_score_ct</t>
  </si>
  <si>
    <t>home_score_ct</t>
  </si>
  <si>
    <t>bat_id</t>
  </si>
  <si>
    <t>pit_id</t>
  </si>
  <si>
    <t>pitch_seq_tx</t>
  </si>
  <si>
    <t>event_cd</t>
  </si>
  <si>
    <t>event_tx</t>
  </si>
  <si>
    <t>base1_run_id</t>
  </si>
  <si>
    <t>base2_run_id</t>
  </si>
  <si>
    <t>vansa001</t>
  </si>
  <si>
    <t>schic002</t>
  </si>
  <si>
    <t>CBBBX</t>
  </si>
  <si>
    <t>S9/L9M</t>
  </si>
  <si>
    <t>bondb001</t>
  </si>
  <si>
    <t>C1BX</t>
  </si>
  <si>
    <t>S/G56.1-2</t>
  </si>
  <si>
    <t>kingj001</t>
  </si>
  <si>
    <t>BLLBBX</t>
  </si>
  <si>
    <t>4(B)4(2)4(1)/LTP/L4M</t>
  </si>
  <si>
    <t>Based on the records, write a short paragraph that describes the play-by-play events of this particular inning.</t>
  </si>
  <si>
    <t>Andy Van Slyke hit a 3-1 line drive single to RF off of Curt Schilling to lead off the inning. Barry Bonds then singled a 1-1 ground ball between</t>
  </si>
  <si>
    <t>3B &amp; SS and advanced Van Slyke from first to second. Jeff King then lined a 3-2 pitch to the second baseman who completed an unassisted triple play.</t>
  </si>
  <si>
    <t>5. Pitchf/x Record of Several Pitches</t>
  </si>
  <si>
    <t>R.A. Dickey was one of the few current pitchers in recent years who threw a knuckleball. The following gives some PITCHf/x variables for the first</t>
  </si>
  <si>
    <t>knuckleball and the first fastball that Dickey threw for a game against the Kansas City Royals on April 13, 2013.</t>
  </si>
  <si>
    <t>start_speed</t>
  </si>
  <si>
    <t>end_speed</t>
  </si>
  <si>
    <t>pfx_x</t>
  </si>
  <si>
    <t>pfx_z</t>
  </si>
  <si>
    <t>px</t>
  </si>
  <si>
    <t>pz</t>
  </si>
  <si>
    <t>sz_bot</t>
  </si>
  <si>
    <t>sz_top</t>
  </si>
  <si>
    <t>Describe the differences between the knuckleball and the fastball in terams of pitch speed, movement (horizontal and vertical directions),</t>
  </si>
  <si>
    <t>and location in the strike zone. Based on this data, why is a knuckleball so difficult for a matter to make contact?</t>
  </si>
  <si>
    <t>The knuckleball was 8.2 mph slower than the fastball coming out of his hand. Surprisingly, both pitches had similar vertical movement but</t>
  </si>
  <si>
    <t>the fastball had much more arm-side movement. The knuckleball was thrown pretty close to middle-middle but the fastball was thrown</t>
  </si>
  <si>
    <t>higher in the zone and more inside. Just looking at this data, the knuckleball is so difficult to make contact with because for one thing it is</t>
  </si>
  <si>
    <t>thrown at a very low speed. Any pitch thrown that slowly to a major league hitter is going to disrupt their timing and make it hard to make</t>
  </si>
  <si>
    <t>contact with. While we're just looking at one knuckleball, if we had a larger sample we would get a better understanding of how the ball</t>
  </si>
  <si>
    <t xml:space="preserve">typically moves and I think that would show us just how inconsistently the movement profile is which is another factor that leads to </t>
  </si>
  <si>
    <t>difficulty making contact.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</si>
</sst>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14DC-6F4E-4338-B333-3C5ECB2774B0}">
  <dimension ref="A1:N129"/>
  <sheetViews>
    <sheetView tabSelected="1" topLeftCell="A103" workbookViewId="0">
      <selection activeCell="A130" sqref="A130"/>
    </sheetView>
  </sheetViews>
  <sheetFormatPr defaultRowHeight="15" x14ac:dyDescent="0.25"/>
  <cols>
    <col min="8" max="8" width="10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s="1" t="s">
        <v>7</v>
      </c>
    </row>
    <row r="9" spans="1:1" x14ac:dyDescent="0.25">
      <c r="A9" t="s">
        <v>8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9</v>
      </c>
    </row>
    <row r="14" spans="1:1" x14ac:dyDescent="0.25">
      <c r="A14" t="s">
        <v>11</v>
      </c>
    </row>
    <row r="15" spans="1:1" x14ac:dyDescent="0.25">
      <c r="A15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30</v>
      </c>
    </row>
    <row r="33" spans="1:13" x14ac:dyDescent="0.25">
      <c r="A33" t="s">
        <v>29</v>
      </c>
    </row>
    <row r="35" spans="1:13" x14ac:dyDescent="0.25">
      <c r="A35" t="s">
        <v>25</v>
      </c>
    </row>
    <row r="36" spans="1:13" x14ac:dyDescent="0.25">
      <c r="A36" t="s">
        <v>26</v>
      </c>
    </row>
    <row r="37" spans="1:13" x14ac:dyDescent="0.25">
      <c r="A37" t="s">
        <v>31</v>
      </c>
    </row>
    <row r="38" spans="1:13" x14ac:dyDescent="0.25">
      <c r="A38" t="s">
        <v>32</v>
      </c>
    </row>
    <row r="39" spans="1:13" x14ac:dyDescent="0.25">
      <c r="A39" t="s">
        <v>33</v>
      </c>
    </row>
    <row r="42" spans="1:13" x14ac:dyDescent="0.25">
      <c r="A42" t="s">
        <v>34</v>
      </c>
    </row>
    <row r="43" spans="1:13" x14ac:dyDescent="0.25">
      <c r="A43" t="s">
        <v>35</v>
      </c>
    </row>
    <row r="44" spans="1:13" x14ac:dyDescent="0.25">
      <c r="A44" t="s">
        <v>36</v>
      </c>
    </row>
    <row r="46" spans="1:13" x14ac:dyDescent="0.25">
      <c r="B46" t="s">
        <v>37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44</v>
      </c>
      <c r="J46" t="s">
        <v>45</v>
      </c>
      <c r="K46" t="s">
        <v>46</v>
      </c>
      <c r="L46" t="s">
        <v>47</v>
      </c>
      <c r="M46" t="s">
        <v>48</v>
      </c>
    </row>
    <row r="47" spans="1:13" x14ac:dyDescent="0.25">
      <c r="A47">
        <v>1</v>
      </c>
      <c r="B47" t="s">
        <v>49</v>
      </c>
      <c r="C47">
        <v>1968</v>
      </c>
      <c r="D47">
        <v>1</v>
      </c>
      <c r="E47" t="s">
        <v>50</v>
      </c>
      <c r="F47" t="s">
        <v>51</v>
      </c>
      <c r="G47">
        <v>22</v>
      </c>
      <c r="H47">
        <v>9</v>
      </c>
      <c r="I47">
        <v>34</v>
      </c>
      <c r="J47">
        <v>34</v>
      </c>
      <c r="K47">
        <v>28</v>
      </c>
      <c r="L47">
        <v>13</v>
      </c>
      <c r="M47">
        <v>0</v>
      </c>
    </row>
    <row r="48" spans="1:13" x14ac:dyDescent="0.25">
      <c r="B48" t="s">
        <v>63</v>
      </c>
      <c r="C48" t="s">
        <v>52</v>
      </c>
      <c r="D48" t="s">
        <v>53</v>
      </c>
      <c r="E48" t="s">
        <v>54</v>
      </c>
      <c r="F48" t="s">
        <v>55</v>
      </c>
      <c r="G48" t="s">
        <v>56</v>
      </c>
      <c r="H48" t="s">
        <v>57</v>
      </c>
      <c r="I48" t="s">
        <v>58</v>
      </c>
      <c r="J48" t="s">
        <v>59</v>
      </c>
      <c r="K48" t="s">
        <v>60</v>
      </c>
      <c r="L48" t="s">
        <v>61</v>
      </c>
      <c r="M48" t="s">
        <v>62</v>
      </c>
    </row>
    <row r="49" spans="1:13" x14ac:dyDescent="0.25">
      <c r="A49">
        <v>1</v>
      </c>
      <c r="B49">
        <v>914</v>
      </c>
      <c r="C49">
        <v>198</v>
      </c>
      <c r="D49">
        <v>38</v>
      </c>
      <c r="E49">
        <v>11</v>
      </c>
      <c r="F49">
        <v>62</v>
      </c>
      <c r="G49">
        <v>268</v>
      </c>
      <c r="H49">
        <v>0.18</v>
      </c>
      <c r="I49">
        <v>1.1200000000000001</v>
      </c>
      <c r="J49">
        <v>6</v>
      </c>
      <c r="K49">
        <v>4</v>
      </c>
      <c r="L49">
        <v>7</v>
      </c>
      <c r="M49">
        <v>0</v>
      </c>
    </row>
    <row r="50" spans="1:13" x14ac:dyDescent="0.25">
      <c r="B50" t="s">
        <v>64</v>
      </c>
      <c r="C50" t="s">
        <v>65</v>
      </c>
      <c r="D50" t="s">
        <v>66</v>
      </c>
      <c r="E50" t="s">
        <v>67</v>
      </c>
      <c r="F50" t="s">
        <v>68</v>
      </c>
      <c r="G50" t="s">
        <v>69</v>
      </c>
    </row>
    <row r="51" spans="1:13" x14ac:dyDescent="0.25">
      <c r="A51">
        <v>1</v>
      </c>
      <c r="B51">
        <v>1161</v>
      </c>
      <c r="C51">
        <v>0</v>
      </c>
      <c r="D51">
        <v>49</v>
      </c>
      <c r="E51" t="s">
        <v>70</v>
      </c>
      <c r="F51" t="s">
        <v>70</v>
      </c>
      <c r="G51" t="s">
        <v>70</v>
      </c>
    </row>
    <row r="53" spans="1:13" x14ac:dyDescent="0.25">
      <c r="A53" t="s">
        <v>71</v>
      </c>
    </row>
    <row r="54" spans="1:13" x14ac:dyDescent="0.25">
      <c r="A54">
        <f>+K47/J47</f>
        <v>0.82352941176470584</v>
      </c>
      <c r="B54" t="s">
        <v>72</v>
      </c>
    </row>
    <row r="56" spans="1:13" x14ac:dyDescent="0.25">
      <c r="A56" t="s">
        <v>73</v>
      </c>
    </row>
    <row r="57" spans="1:13" x14ac:dyDescent="0.25">
      <c r="A57">
        <f>+G49/F49</f>
        <v>4.32258064516129</v>
      </c>
      <c r="B57" t="s">
        <v>74</v>
      </c>
    </row>
    <row r="59" spans="1:13" x14ac:dyDescent="0.25">
      <c r="A59" t="s">
        <v>75</v>
      </c>
    </row>
    <row r="60" spans="1:13" x14ac:dyDescent="0.25">
      <c r="A60" t="s">
        <v>76</v>
      </c>
    </row>
    <row r="61" spans="1:13" x14ac:dyDescent="0.25">
      <c r="A61">
        <f>+B49/3</f>
        <v>304.66666666666669</v>
      </c>
      <c r="B61" t="s">
        <v>77</v>
      </c>
    </row>
    <row r="63" spans="1:13" x14ac:dyDescent="0.25">
      <c r="A63" t="s">
        <v>78</v>
      </c>
    </row>
    <row r="64" spans="1:13" x14ac:dyDescent="0.25">
      <c r="A64" t="s">
        <v>79</v>
      </c>
    </row>
    <row r="65" spans="1:14" x14ac:dyDescent="0.25">
      <c r="A65">
        <f>+(F49+C49)/((B49/3))</f>
        <v>0.85339168490153172</v>
      </c>
      <c r="B65" t="s">
        <v>80</v>
      </c>
    </row>
    <row r="68" spans="1:14" x14ac:dyDescent="0.25">
      <c r="A68" t="s">
        <v>81</v>
      </c>
    </row>
    <row r="69" spans="1:14" x14ac:dyDescent="0.25">
      <c r="A69" t="s">
        <v>82</v>
      </c>
    </row>
    <row r="70" spans="1:14" x14ac:dyDescent="0.25">
      <c r="A70" t="s">
        <v>83</v>
      </c>
    </row>
    <row r="72" spans="1:14" x14ac:dyDescent="0.25">
      <c r="B72" t="s">
        <v>84</v>
      </c>
      <c r="C72" t="s">
        <v>85</v>
      </c>
      <c r="D72" t="s">
        <v>86</v>
      </c>
      <c r="E72" t="s">
        <v>87</v>
      </c>
      <c r="F72" t="s">
        <v>88</v>
      </c>
      <c r="G72" t="s">
        <v>89</v>
      </c>
      <c r="H72" t="s">
        <v>90</v>
      </c>
      <c r="I72" t="s">
        <v>91</v>
      </c>
      <c r="J72" t="s">
        <v>92</v>
      </c>
      <c r="K72" t="s">
        <v>96</v>
      </c>
      <c r="L72" t="s">
        <v>97</v>
      </c>
      <c r="M72" t="s">
        <v>98</v>
      </c>
      <c r="N72" t="s">
        <v>99</v>
      </c>
    </row>
    <row r="73" spans="1:14" x14ac:dyDescent="0.25">
      <c r="A73">
        <v>1</v>
      </c>
      <c r="B73">
        <v>19640621</v>
      </c>
      <c r="C73">
        <v>1</v>
      </c>
      <c r="D73" t="s">
        <v>93</v>
      </c>
      <c r="E73" t="s">
        <v>94</v>
      </c>
      <c r="F73" t="s">
        <v>51</v>
      </c>
      <c r="G73">
        <v>60</v>
      </c>
      <c r="H73" t="s">
        <v>95</v>
      </c>
      <c r="I73" t="s">
        <v>51</v>
      </c>
      <c r="J73">
        <v>67</v>
      </c>
      <c r="K73">
        <v>6</v>
      </c>
      <c r="L73">
        <v>0</v>
      </c>
      <c r="M73">
        <v>54</v>
      </c>
      <c r="N73" t="s">
        <v>100</v>
      </c>
    </row>
    <row r="74" spans="1:14" x14ac:dyDescent="0.25">
      <c r="B74" t="s">
        <v>101</v>
      </c>
      <c r="C74" t="s">
        <v>102</v>
      </c>
      <c r="D74" t="s">
        <v>103</v>
      </c>
      <c r="E74" t="s">
        <v>104</v>
      </c>
      <c r="F74" t="s">
        <v>105</v>
      </c>
      <c r="G74" t="s">
        <v>106</v>
      </c>
      <c r="H74" t="s">
        <v>107</v>
      </c>
      <c r="I74" t="s">
        <v>108</v>
      </c>
      <c r="J74" t="s">
        <v>109</v>
      </c>
      <c r="K74" t="s">
        <v>110</v>
      </c>
      <c r="L74" t="s">
        <v>111</v>
      </c>
      <c r="M74" t="s">
        <v>112</v>
      </c>
      <c r="N74" t="s">
        <v>113</v>
      </c>
    </row>
    <row r="75" spans="1:14" x14ac:dyDescent="0.25">
      <c r="A75">
        <v>1</v>
      </c>
      <c r="B75" t="s">
        <v>70</v>
      </c>
      <c r="C75" t="s">
        <v>70</v>
      </c>
      <c r="E75" t="s">
        <v>114</v>
      </c>
      <c r="F75">
        <v>0</v>
      </c>
      <c r="G75">
        <v>139</v>
      </c>
      <c r="H75">
        <v>110004000</v>
      </c>
      <c r="I75" s="1" t="s">
        <v>115</v>
      </c>
      <c r="J75">
        <v>32</v>
      </c>
      <c r="K75">
        <v>8</v>
      </c>
      <c r="L75">
        <v>2</v>
      </c>
      <c r="M75">
        <v>0</v>
      </c>
      <c r="N75">
        <v>1</v>
      </c>
    </row>
    <row r="76" spans="1:14" x14ac:dyDescent="0.25">
      <c r="B76" t="s">
        <v>116</v>
      </c>
      <c r="C76" t="s">
        <v>117</v>
      </c>
      <c r="D76" t="s">
        <v>118</v>
      </c>
      <c r="E76" t="s">
        <v>119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</row>
    <row r="77" spans="1:14" x14ac:dyDescent="0.25">
      <c r="A77">
        <v>1</v>
      </c>
      <c r="B77">
        <v>6</v>
      </c>
      <c r="C77">
        <v>2</v>
      </c>
      <c r="D77">
        <v>0</v>
      </c>
      <c r="E77">
        <v>0</v>
      </c>
      <c r="F77">
        <v>4</v>
      </c>
      <c r="G77">
        <v>0</v>
      </c>
      <c r="H77">
        <v>6</v>
      </c>
      <c r="I77">
        <v>0</v>
      </c>
      <c r="J77">
        <v>1</v>
      </c>
      <c r="K77">
        <v>0</v>
      </c>
      <c r="L77">
        <v>0</v>
      </c>
      <c r="M77">
        <v>5</v>
      </c>
    </row>
    <row r="79" spans="1:14" x14ac:dyDescent="0.25">
      <c r="A79" t="s">
        <v>128</v>
      </c>
    </row>
    <row r="80" spans="1:14" x14ac:dyDescent="0.25">
      <c r="A80" t="s">
        <v>129</v>
      </c>
    </row>
    <row r="82" spans="1:2" x14ac:dyDescent="0.25">
      <c r="A82" t="s">
        <v>130</v>
      </c>
    </row>
    <row r="83" spans="1:2" x14ac:dyDescent="0.25">
      <c r="A83" t="s">
        <v>131</v>
      </c>
    </row>
    <row r="84" spans="1:2" x14ac:dyDescent="0.25">
      <c r="A84" t="s">
        <v>132</v>
      </c>
    </row>
    <row r="86" spans="1:2" x14ac:dyDescent="0.25">
      <c r="A86" t="s">
        <v>133</v>
      </c>
    </row>
    <row r="87" spans="1:2" x14ac:dyDescent="0.25">
      <c r="A87">
        <f>+L75+M75+N75</f>
        <v>3</v>
      </c>
      <c r="B87" t="s">
        <v>134</v>
      </c>
    </row>
    <row r="89" spans="1:2" x14ac:dyDescent="0.25">
      <c r="A89" t="s">
        <v>135</v>
      </c>
    </row>
    <row r="90" spans="1:2" x14ac:dyDescent="0.25">
      <c r="A90">
        <f>+(K75+E77+F77)/(J75+F77+E77+D77)</f>
        <v>0.33333333333333331</v>
      </c>
      <c r="B90" t="s">
        <v>136</v>
      </c>
    </row>
    <row r="93" spans="1:2" x14ac:dyDescent="0.25">
      <c r="A93" t="s">
        <v>137</v>
      </c>
    </row>
    <row r="94" spans="1:2" x14ac:dyDescent="0.25">
      <c r="A94" t="s">
        <v>138</v>
      </c>
    </row>
    <row r="95" spans="1:2" x14ac:dyDescent="0.25">
      <c r="A95" t="s">
        <v>139</v>
      </c>
    </row>
    <row r="96" spans="1:2" x14ac:dyDescent="0.25">
      <c r="A96" t="s">
        <v>140</v>
      </c>
    </row>
    <row r="97" spans="1:11" x14ac:dyDescent="0.25">
      <c r="A97" t="s">
        <v>141</v>
      </c>
    </row>
    <row r="98" spans="1:11" x14ac:dyDescent="0.25">
      <c r="A98" t="s">
        <v>142</v>
      </c>
    </row>
    <row r="100" spans="1:11" x14ac:dyDescent="0.25">
      <c r="B100" t="s">
        <v>143</v>
      </c>
      <c r="C100" t="s">
        <v>144</v>
      </c>
      <c r="D100" t="s">
        <v>145</v>
      </c>
      <c r="E100" t="s">
        <v>146</v>
      </c>
      <c r="F100" t="s">
        <v>147</v>
      </c>
      <c r="G100" t="s">
        <v>148</v>
      </c>
      <c r="H100" t="s">
        <v>149</v>
      </c>
      <c r="I100" t="s">
        <v>150</v>
      </c>
      <c r="J100" t="s">
        <v>151</v>
      </c>
      <c r="K100" t="s">
        <v>152</v>
      </c>
    </row>
    <row r="101" spans="1:11" x14ac:dyDescent="0.25">
      <c r="A101">
        <v>1</v>
      </c>
      <c r="B101">
        <v>1</v>
      </c>
      <c r="C101">
        <v>1</v>
      </c>
      <c r="D101">
        <v>1</v>
      </c>
      <c r="E101" t="s">
        <v>153</v>
      </c>
      <c r="F101" t="s">
        <v>154</v>
      </c>
      <c r="G101" t="s">
        <v>155</v>
      </c>
      <c r="H101">
        <v>20</v>
      </c>
      <c r="I101" t="s">
        <v>156</v>
      </c>
    </row>
    <row r="102" spans="1:11" x14ac:dyDescent="0.25">
      <c r="A102">
        <v>2</v>
      </c>
      <c r="B102">
        <v>1</v>
      </c>
      <c r="C102">
        <v>1</v>
      </c>
      <c r="D102">
        <v>1</v>
      </c>
      <c r="E102" t="s">
        <v>157</v>
      </c>
      <c r="F102" t="s">
        <v>154</v>
      </c>
      <c r="G102" t="s">
        <v>158</v>
      </c>
      <c r="H102">
        <v>20</v>
      </c>
      <c r="I102" t="s">
        <v>159</v>
      </c>
      <c r="J102" t="s">
        <v>153</v>
      </c>
    </row>
    <row r="103" spans="1:11" x14ac:dyDescent="0.25">
      <c r="A103">
        <v>3</v>
      </c>
      <c r="B103">
        <v>1</v>
      </c>
      <c r="C103">
        <v>1</v>
      </c>
      <c r="D103">
        <v>1</v>
      </c>
      <c r="E103" t="s">
        <v>160</v>
      </c>
      <c r="F103" t="s">
        <v>154</v>
      </c>
      <c r="G103" t="s">
        <v>161</v>
      </c>
      <c r="H103">
        <v>2</v>
      </c>
      <c r="I103" t="s">
        <v>162</v>
      </c>
      <c r="J103" t="s">
        <v>157</v>
      </c>
      <c r="K103" t="s">
        <v>153</v>
      </c>
    </row>
    <row r="105" spans="1:11" x14ac:dyDescent="0.25">
      <c r="A105" t="s">
        <v>163</v>
      </c>
    </row>
    <row r="107" spans="1:11" x14ac:dyDescent="0.25">
      <c r="A107" t="s">
        <v>164</v>
      </c>
    </row>
    <row r="108" spans="1:11" x14ac:dyDescent="0.25">
      <c r="A108" t="s">
        <v>165</v>
      </c>
    </row>
    <row r="111" spans="1:11" x14ac:dyDescent="0.25">
      <c r="A111" t="s">
        <v>166</v>
      </c>
    </row>
    <row r="112" spans="1:11" x14ac:dyDescent="0.25">
      <c r="A112" t="s">
        <v>167</v>
      </c>
    </row>
    <row r="113" spans="1:8" x14ac:dyDescent="0.25">
      <c r="A113" t="s">
        <v>168</v>
      </c>
    </row>
    <row r="115" spans="1:8" x14ac:dyDescent="0.25">
      <c r="A115" t="s">
        <v>169</v>
      </c>
      <c r="B115" t="s">
        <v>170</v>
      </c>
      <c r="C115" t="s">
        <v>171</v>
      </c>
      <c r="D115" t="s">
        <v>172</v>
      </c>
      <c r="E115" t="s">
        <v>173</v>
      </c>
      <c r="F115" t="s">
        <v>174</v>
      </c>
      <c r="G115" t="s">
        <v>175</v>
      </c>
      <c r="H115" t="s">
        <v>176</v>
      </c>
    </row>
    <row r="116" spans="1:8" x14ac:dyDescent="0.25">
      <c r="A116">
        <v>73</v>
      </c>
      <c r="B116">
        <v>66.3</v>
      </c>
      <c r="C116">
        <v>-0.64</v>
      </c>
      <c r="D116">
        <v>-7.58</v>
      </c>
      <c r="E116">
        <v>-4.7E-2</v>
      </c>
      <c r="F116">
        <v>2.4750000000000001</v>
      </c>
      <c r="G116">
        <v>1.5</v>
      </c>
      <c r="H116">
        <v>3.35</v>
      </c>
    </row>
    <row r="117" spans="1:8" x14ac:dyDescent="0.25">
      <c r="A117" t="s">
        <v>169</v>
      </c>
      <c r="B117" t="s">
        <v>170</v>
      </c>
      <c r="C117" t="s">
        <v>171</v>
      </c>
      <c r="D117" t="s">
        <v>172</v>
      </c>
      <c r="E117" t="s">
        <v>173</v>
      </c>
      <c r="F117" t="s">
        <v>174</v>
      </c>
      <c r="G117" t="s">
        <v>175</v>
      </c>
      <c r="H117" t="s">
        <v>176</v>
      </c>
    </row>
    <row r="118" spans="1:8" x14ac:dyDescent="0.25">
      <c r="A118">
        <v>81.2</v>
      </c>
      <c r="B118">
        <v>75.400000000000006</v>
      </c>
      <c r="C118">
        <v>-4.99</v>
      </c>
      <c r="D118">
        <v>-7.67</v>
      </c>
      <c r="E118">
        <v>-1.99</v>
      </c>
      <c r="F118">
        <v>2.9630000000000001</v>
      </c>
      <c r="G118">
        <v>1.5</v>
      </c>
      <c r="H118">
        <v>3.43</v>
      </c>
    </row>
    <row r="120" spans="1:8" x14ac:dyDescent="0.25">
      <c r="A120" t="s">
        <v>177</v>
      </c>
    </row>
    <row r="121" spans="1:8" x14ac:dyDescent="0.25">
      <c r="A121" t="s">
        <v>178</v>
      </c>
    </row>
    <row r="123" spans="1:8" x14ac:dyDescent="0.25">
      <c r="A123" t="s">
        <v>179</v>
      </c>
    </row>
    <row r="124" spans="1:8" x14ac:dyDescent="0.25">
      <c r="A124" t="s">
        <v>180</v>
      </c>
    </row>
    <row r="125" spans="1:8" x14ac:dyDescent="0.25">
      <c r="A125" t="s">
        <v>181</v>
      </c>
    </row>
    <row r="126" spans="1:8" x14ac:dyDescent="0.25">
      <c r="A126" t="s">
        <v>182</v>
      </c>
    </row>
    <row r="127" spans="1:8" x14ac:dyDescent="0.25">
      <c r="A127" t="s">
        <v>183</v>
      </c>
    </row>
    <row r="128" spans="1:8" x14ac:dyDescent="0.25">
      <c r="A128" t="s">
        <v>184</v>
      </c>
    </row>
    <row r="129" spans="1:1" x14ac:dyDescent="0.25">
      <c r="A12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1.10 Exercises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Simon</dc:creator>
  <cp:lastModifiedBy>Peter Simon</cp:lastModifiedBy>
  <dcterms:created xsi:type="dcterms:W3CDTF">2025-12-09T21:00:22Z</dcterms:created>
  <dcterms:modified xsi:type="dcterms:W3CDTF">2025-12-17T00:12:33Z</dcterms:modified>
</cp:coreProperties>
</file>